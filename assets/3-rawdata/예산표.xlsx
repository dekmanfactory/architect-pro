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bion\Desktop\새 폴더\"/>
    </mc:Choice>
  </mc:AlternateContent>
  <xr:revisionPtr revIDLastSave="0" documentId="13_ncr:1_{B76A694E-8DBB-42FA-AE02-183B50559448}" xr6:coauthVersionLast="36" xr6:coauthVersionMax="36" xr10:uidLastSave="{00000000-0000-0000-0000-000000000000}"/>
  <bookViews>
    <workbookView xWindow="0" yWindow="0" windowWidth="22260" windowHeight="12645" tabRatio="794" activeTab="3" xr2:uid="{00000000-000D-0000-FFFF-FFFF00000000}"/>
  </bookViews>
  <sheets>
    <sheet name="인건비" sheetId="1" r:id="rId1"/>
    <sheet name="시스템 및 소프트웨어 비용" sheetId="2" r:id="rId2"/>
    <sheet name="운영 및 기타 비용" sheetId="3" r:id="rId3"/>
    <sheet name="총괄 예산 요약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 s="1"/>
  <c r="F2" i="1"/>
  <c r="E8" i="2"/>
  <c r="E3" i="2"/>
  <c r="E4" i="2"/>
  <c r="E5" i="2"/>
  <c r="E6" i="2"/>
  <c r="E7" i="2"/>
  <c r="E2" i="2"/>
  <c r="E7" i="3"/>
  <c r="E3" i="3"/>
  <c r="E4" i="3"/>
  <c r="E5" i="3"/>
  <c r="E6" i="3"/>
  <c r="E2" i="3"/>
  <c r="B5" i="4"/>
</calcChain>
</file>

<file path=xl/sharedStrings.xml><?xml version="1.0" encoding="utf-8"?>
<sst xmlns="http://schemas.openxmlformats.org/spreadsheetml/2006/main" count="76" uniqueCount="63">
  <si>
    <t>구분</t>
    <phoneticPr fontId="2" type="noConversion"/>
  </si>
  <si>
    <t>금액(원)</t>
    <phoneticPr fontId="2" type="noConversion"/>
  </si>
  <si>
    <t>인건비</t>
    <phoneticPr fontId="2" type="noConversion"/>
  </si>
  <si>
    <t>시스템 및 소프트웨어</t>
    <phoneticPr fontId="2" type="noConversion"/>
  </si>
  <si>
    <t>운영 및 기타</t>
    <phoneticPr fontId="2" type="noConversion"/>
  </si>
  <si>
    <t>총 합계</t>
    <phoneticPr fontId="2" type="noConversion"/>
  </si>
  <si>
    <t>내용</t>
    <phoneticPr fontId="2" type="noConversion"/>
  </si>
  <si>
    <t>수량</t>
    <phoneticPr fontId="2" type="noConversion"/>
  </si>
  <si>
    <t>단가(원)</t>
    <phoneticPr fontId="2" type="noConversion"/>
  </si>
  <si>
    <t>비고</t>
    <phoneticPr fontId="2" type="noConversion"/>
  </si>
  <si>
    <t>테스트 운영비</t>
    <phoneticPr fontId="2" type="noConversion"/>
  </si>
  <si>
    <t>문서화 비용</t>
    <phoneticPr fontId="2" type="noConversion"/>
  </si>
  <si>
    <t>교육 및 전파</t>
    <phoneticPr fontId="2" type="noConversion"/>
  </si>
  <si>
    <t>유지보수 준비비</t>
    <phoneticPr fontId="2" type="noConversion"/>
  </si>
  <si>
    <t>예비비</t>
    <phoneticPr fontId="2" type="noConversion"/>
  </si>
  <si>
    <t>시범 운영</t>
    <phoneticPr fontId="2" type="noConversion"/>
  </si>
  <si>
    <t>매뉴얼 제작</t>
    <phoneticPr fontId="2" type="noConversion"/>
  </si>
  <si>
    <t>내부 교육</t>
    <phoneticPr fontId="2" type="noConversion"/>
  </si>
  <si>
    <t>안정화 대응</t>
    <phoneticPr fontId="2" type="noConversion"/>
  </si>
  <si>
    <t>리스크 대응</t>
    <phoneticPr fontId="2" type="noConversion"/>
  </si>
  <si>
    <t>PoC  포함</t>
    <phoneticPr fontId="2" type="noConversion"/>
  </si>
  <si>
    <t>사용자, 관리자</t>
    <phoneticPr fontId="2" type="noConversion"/>
  </si>
  <si>
    <t>세션 기준</t>
    <phoneticPr fontId="2" type="noConversion"/>
  </si>
  <si>
    <t>초기 3개월</t>
    <phoneticPr fontId="2" type="noConversion"/>
  </si>
  <si>
    <t>약 2%</t>
    <phoneticPr fontId="2" type="noConversion"/>
  </si>
  <si>
    <t>클라우드 서버</t>
    <phoneticPr fontId="2" type="noConversion"/>
  </si>
  <si>
    <t>스토리지</t>
    <phoneticPr fontId="2" type="noConversion"/>
  </si>
  <si>
    <t>LLM API 사용료</t>
    <phoneticPr fontId="2" type="noConversion"/>
  </si>
  <si>
    <t>문서 파싱 라이브러리</t>
    <phoneticPr fontId="2" type="noConversion"/>
  </si>
  <si>
    <t>협업 툴</t>
    <phoneticPr fontId="2" type="noConversion"/>
  </si>
  <si>
    <t>보안 솔루션</t>
    <phoneticPr fontId="2" type="noConversion"/>
  </si>
  <si>
    <t>AI 처리 서버</t>
    <phoneticPr fontId="2" type="noConversion"/>
  </si>
  <si>
    <t>문서 저장</t>
    <phoneticPr fontId="2" type="noConversion"/>
  </si>
  <si>
    <t>문서 분석 및 생성</t>
    <phoneticPr fontId="2" type="noConversion"/>
  </si>
  <si>
    <t>PDF, DOCX, XLSX</t>
    <phoneticPr fontId="2" type="noConversion"/>
  </si>
  <si>
    <t>이슈 및 형상 관리</t>
    <phoneticPr fontId="2" type="noConversion"/>
  </si>
  <si>
    <t>접근 및 로그 관리</t>
    <phoneticPr fontId="2" type="noConversion"/>
  </si>
  <si>
    <t>월 기주</t>
    <phoneticPr fontId="2" type="noConversion"/>
  </si>
  <si>
    <t>백업 포함</t>
    <phoneticPr fontId="2" type="noConversion"/>
  </si>
  <si>
    <t>프로젝트 기준</t>
    <phoneticPr fontId="2" type="noConversion"/>
  </si>
  <si>
    <t>사용 라이선스</t>
    <phoneticPr fontId="2" type="noConversion"/>
  </si>
  <si>
    <t>팀 공용</t>
    <phoneticPr fontId="2" type="noConversion"/>
  </si>
  <si>
    <t>공공 기준</t>
    <phoneticPr fontId="2" type="noConversion"/>
  </si>
  <si>
    <t>항목</t>
    <phoneticPr fontId="2" type="noConversion"/>
  </si>
  <si>
    <t>역할</t>
    <phoneticPr fontId="2" type="noConversion"/>
  </si>
  <si>
    <t>수량(명)</t>
    <phoneticPr fontId="2" type="noConversion"/>
  </si>
  <si>
    <t>단가(원/월)</t>
    <phoneticPr fontId="2" type="noConversion"/>
  </si>
  <si>
    <t>기간(월)</t>
    <phoneticPr fontId="2" type="noConversion"/>
  </si>
  <si>
    <t>총괄 PM</t>
    <phoneticPr fontId="2" type="noConversion"/>
  </si>
  <si>
    <t>AI 엔지니어</t>
    <phoneticPr fontId="2" type="noConversion"/>
  </si>
  <si>
    <t>백엔드 개발자</t>
    <phoneticPr fontId="2" type="noConversion"/>
  </si>
  <si>
    <t>콘텐츠 기획자</t>
    <phoneticPr fontId="2" type="noConversion"/>
  </si>
  <si>
    <t>검수 및 운영 인력</t>
    <phoneticPr fontId="2" type="noConversion"/>
  </si>
  <si>
    <t>소계</t>
    <phoneticPr fontId="2" type="noConversion"/>
  </si>
  <si>
    <t>프로젝트 총괄</t>
    <phoneticPr fontId="2" type="noConversion"/>
  </si>
  <si>
    <t>LLM 설계 및 튜닝</t>
    <phoneticPr fontId="2" type="noConversion"/>
  </si>
  <si>
    <t>시스템 구현</t>
    <phoneticPr fontId="2" type="noConversion"/>
  </si>
  <si>
    <t>스킬 구조 설계</t>
    <phoneticPr fontId="2" type="noConversion"/>
  </si>
  <si>
    <t>결과물 검수</t>
    <phoneticPr fontId="2" type="noConversion"/>
  </si>
  <si>
    <t>일정, 품질, 대외 협의</t>
    <phoneticPr fontId="2" type="noConversion"/>
  </si>
  <si>
    <t>API 및 데이터 처리</t>
    <phoneticPr fontId="2" type="noConversion"/>
  </si>
  <si>
    <t>Proposal 문단 설계</t>
    <phoneticPr fontId="2" type="noConversion"/>
  </si>
  <si>
    <t>품질 관리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</si>
</sst>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3">
    <xf numFmtId="0" fontId="0" fillId="0" borderId="0" xfId="0"/>
    <xf numFmtId="41" fontId="0" fillId="0" borderId="0" xfId="1" applyFont="1" applyAlignment="1"/>
    <xf numFmtId="41" fontId="0" fillId="0" borderId="0" xfId="0" applyNumberForma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G4" sqref="G4"/>
    </sheetView>
  </sheetViews>
  <sheetFormatPr defaultRowHeight="16.5" x14ac:dyDescent="0.3"/>
  <cols>
    <col min="1" max="1" width="20.625" bestFit="1" customWidth="1"/>
    <col min="2" max="2" width="17.25" bestFit="1" customWidth="1"/>
    <col min="3" max="3" width="5.25" bestFit="1" customWidth="1"/>
    <col min="4" max="4" width="11.875" style="1" bestFit="1" customWidth="1"/>
    <col min="5" max="5" width="11.875" bestFit="1" customWidth="1"/>
    <col min="6" max="6" width="13.75" bestFit="1" customWidth="1"/>
    <col min="7" max="7" width="20.125" bestFit="1" customWidth="1"/>
  </cols>
  <sheetData>
    <row r="1" spans="1:7" x14ac:dyDescent="0.3">
      <c r="A1" t="s">
        <v>43</v>
      </c>
      <c r="B1" t="s">
        <v>44</v>
      </c>
      <c r="C1" t="s">
        <v>45</v>
      </c>
      <c r="D1" s="1" t="s">
        <v>46</v>
      </c>
      <c r="E1" s="1" t="s">
        <v>47</v>
      </c>
      <c r="F1" t="s">
        <v>1</v>
      </c>
      <c r="G1" t="s">
        <v>9</v>
      </c>
    </row>
    <row r="2" spans="1:7" x14ac:dyDescent="0.3">
      <c r="A2" t="s">
        <v>48</v>
      </c>
      <c r="B2" t="s">
        <v>54</v>
      </c>
      <c r="C2">
        <v>1</v>
      </c>
      <c r="D2" s="1">
        <v>7000000</v>
      </c>
      <c r="E2">
        <v>6</v>
      </c>
      <c r="F2" s="2">
        <f>C2*D2*E2</f>
        <v>42000000</v>
      </c>
      <c r="G2" t="s">
        <v>59</v>
      </c>
    </row>
    <row r="3" spans="1:7" x14ac:dyDescent="0.3">
      <c r="A3" t="s">
        <v>49</v>
      </c>
      <c r="B3" t="s">
        <v>55</v>
      </c>
      <c r="C3">
        <v>2</v>
      </c>
      <c r="D3" s="1">
        <v>6000000</v>
      </c>
      <c r="E3">
        <v>6</v>
      </c>
      <c r="F3" s="2">
        <f t="shared" ref="F3:F6" si="0">C3*D3*E3</f>
        <v>72000000</v>
      </c>
      <c r="G3" t="s">
        <v>33</v>
      </c>
    </row>
    <row r="4" spans="1:7" x14ac:dyDescent="0.3">
      <c r="A4" t="s">
        <v>50</v>
      </c>
      <c r="B4" t="s">
        <v>56</v>
      </c>
      <c r="C4">
        <v>1</v>
      </c>
      <c r="D4" s="1">
        <v>5500000</v>
      </c>
      <c r="E4">
        <v>6</v>
      </c>
      <c r="F4" s="2">
        <f t="shared" si="0"/>
        <v>33000000</v>
      </c>
      <c r="G4" t="s">
        <v>60</v>
      </c>
    </row>
    <row r="5" spans="1:7" x14ac:dyDescent="0.3">
      <c r="A5" t="s">
        <v>51</v>
      </c>
      <c r="B5" t="s">
        <v>57</v>
      </c>
      <c r="C5">
        <v>1</v>
      </c>
      <c r="D5" s="1">
        <v>4500000</v>
      </c>
      <c r="E5">
        <v>5</v>
      </c>
      <c r="F5" s="2">
        <f t="shared" si="0"/>
        <v>22500000</v>
      </c>
      <c r="G5" t="s">
        <v>61</v>
      </c>
    </row>
    <row r="6" spans="1:7" x14ac:dyDescent="0.3">
      <c r="A6" t="s">
        <v>52</v>
      </c>
      <c r="B6" t="s">
        <v>58</v>
      </c>
      <c r="C6">
        <v>1</v>
      </c>
      <c r="D6" s="1">
        <v>3500000</v>
      </c>
      <c r="E6">
        <v>4</v>
      </c>
      <c r="F6" s="2">
        <f t="shared" si="0"/>
        <v>14000000</v>
      </c>
      <c r="G6" t="s">
        <v>62</v>
      </c>
    </row>
    <row r="7" spans="1:7" x14ac:dyDescent="0.3">
      <c r="A7" t="s">
        <v>53</v>
      </c>
      <c r="F7" s="2">
        <f>SUM(F2:F6)</f>
        <v>183500000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438DE-943B-4F67-A4CD-D1FA41E403C4}">
  <dimension ref="A1:F8"/>
  <sheetViews>
    <sheetView workbookViewId="0">
      <selection activeCell="B21" sqref="B21"/>
    </sheetView>
  </sheetViews>
  <sheetFormatPr defaultRowHeight="16.5" x14ac:dyDescent="0.3"/>
  <cols>
    <col min="1" max="1" width="20.625" bestFit="1" customWidth="1"/>
    <col min="2" max="2" width="17.25" bestFit="1" customWidth="1"/>
    <col min="3" max="3" width="5.25" bestFit="1" customWidth="1"/>
    <col min="4" max="5" width="11.875" bestFit="1" customWidth="1"/>
    <col min="6" max="6" width="14.125" bestFit="1" customWidth="1"/>
  </cols>
  <sheetData>
    <row r="1" spans="1:6" x14ac:dyDescent="0.3">
      <c r="A1" t="s">
        <v>43</v>
      </c>
      <c r="B1" t="s">
        <v>6</v>
      </c>
      <c r="C1" t="s">
        <v>7</v>
      </c>
      <c r="D1" s="1" t="s">
        <v>8</v>
      </c>
      <c r="E1" s="1" t="s">
        <v>1</v>
      </c>
      <c r="F1" t="s">
        <v>9</v>
      </c>
    </row>
    <row r="2" spans="1:6" x14ac:dyDescent="0.3">
      <c r="A2" t="s">
        <v>25</v>
      </c>
      <c r="B2" t="s">
        <v>31</v>
      </c>
      <c r="C2">
        <v>6</v>
      </c>
      <c r="D2" s="1">
        <v>2000000</v>
      </c>
      <c r="E2" s="1">
        <f>C2*D2</f>
        <v>12000000</v>
      </c>
      <c r="F2" t="s">
        <v>37</v>
      </c>
    </row>
    <row r="3" spans="1:6" x14ac:dyDescent="0.3">
      <c r="A3" t="s">
        <v>26</v>
      </c>
      <c r="B3" t="s">
        <v>32</v>
      </c>
      <c r="C3">
        <v>6</v>
      </c>
      <c r="D3" s="1">
        <v>500000</v>
      </c>
      <c r="E3" s="1">
        <f t="shared" ref="E3:E7" si="0">C3*D3</f>
        <v>3000000</v>
      </c>
      <c r="F3" t="s">
        <v>38</v>
      </c>
    </row>
    <row r="4" spans="1:6" x14ac:dyDescent="0.3">
      <c r="A4" t="s">
        <v>27</v>
      </c>
      <c r="B4" t="s">
        <v>33</v>
      </c>
      <c r="C4">
        <v>1</v>
      </c>
      <c r="D4" s="1">
        <v>18000000</v>
      </c>
      <c r="E4" s="1">
        <f t="shared" si="0"/>
        <v>18000000</v>
      </c>
      <c r="F4" t="s">
        <v>39</v>
      </c>
    </row>
    <row r="5" spans="1:6" x14ac:dyDescent="0.3">
      <c r="A5" t="s">
        <v>28</v>
      </c>
      <c r="B5" t="s">
        <v>34</v>
      </c>
      <c r="C5">
        <v>1</v>
      </c>
      <c r="D5" s="1">
        <v>5000000</v>
      </c>
      <c r="E5" s="1">
        <f t="shared" si="0"/>
        <v>5000000</v>
      </c>
      <c r="F5" t="s">
        <v>40</v>
      </c>
    </row>
    <row r="6" spans="1:6" x14ac:dyDescent="0.3">
      <c r="A6" t="s">
        <v>29</v>
      </c>
      <c r="B6" t="s">
        <v>35</v>
      </c>
      <c r="C6">
        <v>6</v>
      </c>
      <c r="D6" s="1">
        <v>300000</v>
      </c>
      <c r="E6" s="1">
        <f t="shared" si="0"/>
        <v>1800000</v>
      </c>
      <c r="F6" t="s">
        <v>41</v>
      </c>
    </row>
    <row r="7" spans="1:6" x14ac:dyDescent="0.3">
      <c r="A7" t="s">
        <v>30</v>
      </c>
      <c r="B7" t="s">
        <v>36</v>
      </c>
      <c r="C7">
        <v>1</v>
      </c>
      <c r="D7" s="1">
        <v>4000000</v>
      </c>
      <c r="E7" s="1">
        <f t="shared" si="0"/>
        <v>4000000</v>
      </c>
      <c r="F7" t="s">
        <v>42</v>
      </c>
    </row>
    <row r="8" spans="1:6" x14ac:dyDescent="0.3">
      <c r="A8" t="s">
        <v>5</v>
      </c>
      <c r="D8" s="1"/>
      <c r="E8" s="1">
        <f>SUM(E2:E7)</f>
        <v>43800000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9F4F5-F031-47CE-A44E-49255C7E29AC}">
  <dimension ref="A1:F7"/>
  <sheetViews>
    <sheetView workbookViewId="0">
      <selection activeCell="E24" sqref="E24"/>
    </sheetView>
  </sheetViews>
  <sheetFormatPr defaultRowHeight="16.5" x14ac:dyDescent="0.3"/>
  <cols>
    <col min="1" max="1" width="15.875" bestFit="1" customWidth="1"/>
    <col min="4" max="4" width="11.875" style="1" bestFit="1" customWidth="1"/>
    <col min="5" max="5" width="13" bestFit="1" customWidth="1"/>
  </cols>
  <sheetData>
    <row r="1" spans="1:6" x14ac:dyDescent="0.3">
      <c r="A1" t="s">
        <v>0</v>
      </c>
      <c r="B1" t="s">
        <v>6</v>
      </c>
      <c r="C1" t="s">
        <v>7</v>
      </c>
      <c r="D1" s="1" t="s">
        <v>8</v>
      </c>
      <c r="E1" s="1" t="s">
        <v>1</v>
      </c>
      <c r="F1" t="s">
        <v>9</v>
      </c>
    </row>
    <row r="2" spans="1:6" x14ac:dyDescent="0.3">
      <c r="A2" t="s">
        <v>10</v>
      </c>
      <c r="B2" t="s">
        <v>15</v>
      </c>
      <c r="C2">
        <v>1</v>
      </c>
      <c r="D2" s="1">
        <v>6000000</v>
      </c>
      <c r="E2" s="1">
        <f>C2*D2</f>
        <v>6000000</v>
      </c>
      <c r="F2" t="s">
        <v>20</v>
      </c>
    </row>
    <row r="3" spans="1:6" x14ac:dyDescent="0.3">
      <c r="A3" t="s">
        <v>11</v>
      </c>
      <c r="B3" t="s">
        <v>16</v>
      </c>
      <c r="C3">
        <v>1</v>
      </c>
      <c r="D3" s="1">
        <v>4000000</v>
      </c>
      <c r="E3" s="1">
        <f t="shared" ref="E3:E6" si="0">C3*D3</f>
        <v>4000000</v>
      </c>
      <c r="F3" t="s">
        <v>21</v>
      </c>
    </row>
    <row r="4" spans="1:6" x14ac:dyDescent="0.3">
      <c r="A4" t="s">
        <v>12</v>
      </c>
      <c r="B4" t="s">
        <v>17</v>
      </c>
      <c r="C4">
        <v>2</v>
      </c>
      <c r="D4" s="1">
        <v>2500000</v>
      </c>
      <c r="E4" s="1">
        <f t="shared" si="0"/>
        <v>5000000</v>
      </c>
      <c r="F4" t="s">
        <v>22</v>
      </c>
    </row>
    <row r="5" spans="1:6" x14ac:dyDescent="0.3">
      <c r="A5" t="s">
        <v>13</v>
      </c>
      <c r="B5" t="s">
        <v>18</v>
      </c>
      <c r="C5">
        <v>1</v>
      </c>
      <c r="D5" s="1">
        <v>7000000</v>
      </c>
      <c r="E5" s="1">
        <f t="shared" si="0"/>
        <v>7000000</v>
      </c>
      <c r="F5" t="s">
        <v>23</v>
      </c>
    </row>
    <row r="6" spans="1:6" x14ac:dyDescent="0.3">
      <c r="A6" t="s">
        <v>14</v>
      </c>
      <c r="B6" t="s">
        <v>19</v>
      </c>
      <c r="C6">
        <v>1</v>
      </c>
      <c r="D6" s="1">
        <v>5000000</v>
      </c>
      <c r="E6" s="1">
        <f t="shared" si="0"/>
        <v>5000000</v>
      </c>
      <c r="F6" t="s">
        <v>24</v>
      </c>
    </row>
    <row r="7" spans="1:6" x14ac:dyDescent="0.3">
      <c r="A7" t="s">
        <v>5</v>
      </c>
      <c r="E7" s="1">
        <f>SUM(E2:E6)</f>
        <v>27000000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B6AA0-1629-48A4-B141-E5436E7C8E13}">
  <dimension ref="A1:B5"/>
  <sheetViews>
    <sheetView tabSelected="1" workbookViewId="0">
      <selection activeCell="B23" sqref="B23"/>
    </sheetView>
  </sheetViews>
  <sheetFormatPr defaultRowHeight="16.5" x14ac:dyDescent="0.3"/>
  <cols>
    <col min="1" max="1" width="20.625" bestFit="1" customWidth="1"/>
    <col min="2" max="2" width="13" style="1" bestFit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 s="1">
        <v>183500000</v>
      </c>
    </row>
    <row r="3" spans="1:2" x14ac:dyDescent="0.3">
      <c r="A3" t="s">
        <v>3</v>
      </c>
      <c r="B3" s="1">
        <v>43800000</v>
      </c>
    </row>
    <row r="4" spans="1:2" x14ac:dyDescent="0.3">
      <c r="A4" t="s">
        <v>4</v>
      </c>
      <c r="B4" s="1">
        <v>27000000</v>
      </c>
    </row>
    <row r="5" spans="1:2" x14ac:dyDescent="0.3">
      <c r="A5" t="s">
        <v>5</v>
      </c>
      <c r="B5" s="1">
        <f>SUM(B2:B4)</f>
        <v>254300000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인건비</vt:lpstr>
      <vt:lpstr>시스템 및 소프트웨어 비용</vt:lpstr>
      <vt:lpstr>운영 및 기타 비용</vt:lpstr>
      <vt:lpstr>총괄 예산 요약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ubion</dc:creator>
  <cp:lastModifiedBy>/학생 이돈우</cp:lastModifiedBy>
  <dcterms:created xsi:type="dcterms:W3CDTF">2015-06-05T18:19:34Z</dcterms:created>
  <dcterms:modified xsi:type="dcterms:W3CDTF">2026-02-05T05:01:19Z</dcterms:modified>
</cp:coreProperties>
</file>